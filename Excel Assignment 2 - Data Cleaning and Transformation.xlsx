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F217A7-125D-4870-A9D8-339AB3C9B1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2" hidden="1">Sheet1!$A$1:$J$32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I2" i="3" a="1"/>
  <c r="I2" i="3" s="1"/>
  <c r="H7" i="3"/>
  <c r="H21" i="3"/>
  <c r="H2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<sst xmlns="http://schemas.openxmlformats.org/spreadsheetml/2006/main" count="319" uniqueCount="125">
  <si>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</si>
  <si>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</si>
  <si>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</si>
  <si>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</si>
  <si>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</si>
  <si>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</si>
  <si>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</si>
  <si>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</si>
  <si>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</si>
  <si>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</si>
  <si>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</si>
  <si>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</si>
  <si>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</si>
  <si>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</si>
  <si>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</si>
  <si>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</si>
  <si>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</si>
  <si>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</si>
  <si>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</si>
  <si>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</si>
  <si>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</si>
  <si>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</si>
  <si>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</si>
  <si>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</si>
  <si>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</si>
  <si>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</si>
  <si>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</si>
  <si>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</si>
  <si>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</si>
  <si>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</si>
  <si>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</si>
  <si>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</si>
  <si>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</si>
  <si>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</si>
  <si>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</si>
  <si>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</si>
  <si>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</si>
  <si>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</si>
  <si>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</si>
  <si>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</si>
  <si>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</si>
  <si>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</si>
  <si>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</si>
  <si>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</si>
  <si>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</si>
  <si>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</si>
  <si>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</si>
  <si>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</si>
  <si>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</si>
  <si>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</si>
  <si>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</si>
  <si>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</si>
  <si>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</si>
  <si>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</si>
  <si>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</si>
  <si>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</si>
  <si>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</si>
  <si>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</si>
  <si>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</si>
  <si>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</si>
  <si>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</si>
  <si>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</si>
  <si>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</si>
  <si>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</si>
  <si>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</si>
  <si>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</si>
  <si>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</si>
  <si>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</si>
  <si>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</si>
  <si>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</si>
  <si>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</si>
  <si>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</si>
  <si>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</si>
  <si>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</si>
  <si>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</si>
  <si>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</si>
  <si>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</si>
  <si>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</si>
  <si>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</si>
  <si>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</si>
  <si>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</si>
  <si>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</si>
  <si>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</si>
  <si>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</si>
  <si>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</si>
  <si>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</si>
  <si>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</si>
  <si>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</si>
  <si>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</si>
  <si>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</si>
  <si>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</si>
  <si>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</si>
  <si>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</si>
  <si>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</si>
  <si>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</si>
  <si>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</si>
  <si>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</si>
  <si>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</si>
  <si>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</si>
  <si>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</si>
  <si>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</si>
  <si>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</si>
  <si>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</si>
  <si>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</si>
  <si>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</si>
  <si>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</si>
  <si>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</si>
  <si>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</si>
  <si>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</si>
  <si>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</si>
  <si>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</si>
  <si>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</si>
  <si>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</si>
  <si>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</si>
  <si>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</si>
  <si>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</si>
  <si>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Find Blank Cells</t>
  </si>
  <si>
    <t>Find Median</t>
  </si>
  <si>
    <t>Proper</t>
  </si>
  <si>
    <t>Ctrl+H</t>
  </si>
  <si>
    <t>3 duplicate rows removed</t>
  </si>
  <si>
    <t>Duplicates</t>
  </si>
  <si>
    <t>MFD</t>
  </si>
  <si>
    <t>Coun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</si>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</sst>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0" xfId="0" applyFont="1" applyFill="1" applyAlignment="1">
      <alignment horizontal="left"/>
    </xf>
    <xf numFmtId="2" fontId="7" fillId="2" borderId="0" xfId="0" applyNumberFormat="1" applyFont="1" applyFill="1" applyAlignment="1">
      <alignment horizontal="center"/>
    </xf>
    <xf numFmtId="2" fontId="0" fillId="0" borderId="0" xfId="0" applyNumberFormat="1"/>
    <xf numFmtId="0" fontId="8" fillId="0" borderId="0" xfId="0" applyFont="1"/>
    <xf numFmtId="0" fontId="9" fillId="2" borderId="0" xfId="0" applyFont="1" applyFill="1" applyAlignment="1">
      <alignment horizontal="center"/>
    </xf>
    <xf numFmtId="165" fontId="5" fillId="0" borderId="0" xfId="0" applyNumberFormat="1" applyFont="1"/>
    <xf numFmtId="165" fontId="5" fillId="3" borderId="0" xfId="0" applyNumberFormat="1" applyFont="1" applyFill="1"/>
  </cellXfs>
  <cellStyles count="1">
    <cellStyle name="Normal" xfId="0" builtinId="0"/>
  </cellStyles>
  <dxfs count="1"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3" workbookViewId="0">
      <selection activeCell="A34" sqref="A34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0E2A-80DC-4FF7-A713-6AE6B62D88B3}">
  <dimension ref="A1:N32"/>
  <sheetViews>
    <sheetView tabSelected="1" workbookViewId="0">
      <selection activeCell="F5" sqref="F5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9.6640625" bestFit="1" customWidth="1"/>
    <col min="5" max="5" width="8.44140625" bestFit="1" customWidth="1"/>
    <col min="6" max="6" width="11" bestFit="1" customWidth="1"/>
    <col min="7" max="7" width="15.109375" bestFit="1" customWidth="1"/>
    <col min="8" max="8" width="11.44140625" style="11" bestFit="1" customWidth="1"/>
    <col min="9" max="9" width="13.6640625" bestFit="1" customWidth="1"/>
    <col min="10" max="10" width="11" bestFit="1" customWidth="1"/>
    <col min="14" max="14" width="21.44140625" bestFit="1" customWidth="1"/>
  </cols>
  <sheetData>
    <row r="1" spans="1:14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9" t="s">
        <v>116</v>
      </c>
      <c r="H1" s="10" t="s">
        <v>117</v>
      </c>
      <c r="I1" s="13" t="s">
        <v>118</v>
      </c>
      <c r="J1" s="13" t="s">
        <v>119</v>
      </c>
      <c r="K1" s="13" t="s">
        <v>121</v>
      </c>
      <c r="L1" s="13" t="s">
        <v>122</v>
      </c>
      <c r="M1" s="13" t="s">
        <v>123</v>
      </c>
      <c r="N1" s="13" t="s">
        <v>124</v>
      </c>
    </row>
    <row r="2" spans="1:14" x14ac:dyDescent="0.25">
      <c r="A2" s="5" t="s">
        <v>25</v>
      </c>
      <c r="B2" s="5" t="s">
        <v>26</v>
      </c>
      <c r="C2" s="5" t="s">
        <v>27</v>
      </c>
      <c r="D2" s="14">
        <v>1000</v>
      </c>
      <c r="E2" s="5">
        <v>30</v>
      </c>
      <c r="F2" s="5" t="s">
        <v>28</v>
      </c>
      <c r="G2" t="str">
        <f>IF(ISBLANK(D2),"Missing","Available")</f>
        <v>Available</v>
      </c>
      <c r="I2" t="str" cm="1">
        <f t="array" ref="I2:I32">PROPER(B2:B32)</f>
        <v>Laptop</v>
      </c>
      <c r="J2" s="5" t="s">
        <v>28</v>
      </c>
      <c r="K2" s="12" t="s">
        <v>120</v>
      </c>
      <c r="L2" t="str">
        <f>LEFT(A2,6)</f>
        <v>28-JAN</v>
      </c>
      <c r="M2" t="str">
        <f>RIGHT(A2,2)</f>
        <v>US</v>
      </c>
      <c r="N2" t="str">
        <f>_xlfn.CONCAT(I2," ",C2)</f>
        <v>Laptop Dell</v>
      </c>
    </row>
    <row r="3" spans="1:14" x14ac:dyDescent="0.25">
      <c r="A3" s="8" t="s">
        <v>29</v>
      </c>
      <c r="B3" s="8" t="s">
        <v>30</v>
      </c>
      <c r="C3" s="8" t="s">
        <v>31</v>
      </c>
      <c r="D3" s="15">
        <v>80</v>
      </c>
      <c r="E3" s="8">
        <v>15</v>
      </c>
      <c r="F3" s="8" t="s">
        <v>32</v>
      </c>
      <c r="G3" t="str">
        <f>IF(ISBLANK(D3),"Missing","Available")</f>
        <v>Available</v>
      </c>
      <c r="I3" t="str">
        <v>Sneakers</v>
      </c>
      <c r="J3" s="8" t="s">
        <v>32</v>
      </c>
      <c r="L3" t="str">
        <f t="shared" ref="L3:L32" si="0">LEFT(A3,6)</f>
        <v>15-FEB</v>
      </c>
      <c r="M3" t="str">
        <f t="shared" ref="M3:M32" si="1">RIGHT(A3,2)</f>
        <v>US</v>
      </c>
      <c r="N3" t="str">
        <f t="shared" ref="N3:N32" si="2">_xlfn.CONCAT(I3," ",C3)</f>
        <v>Sneakers Nike</v>
      </c>
    </row>
    <row r="4" spans="1:14" x14ac:dyDescent="0.25">
      <c r="A4" s="5" t="s">
        <v>33</v>
      </c>
      <c r="B4" s="5" t="s">
        <v>34</v>
      </c>
      <c r="C4" s="5" t="s">
        <v>35</v>
      </c>
      <c r="D4" s="14">
        <v>130</v>
      </c>
      <c r="E4" s="5">
        <v>40</v>
      </c>
      <c r="F4" s="5" t="s">
        <v>36</v>
      </c>
      <c r="G4" t="str">
        <f>IF(ISBLANK(D4),"Missing","Available")</f>
        <v>Available</v>
      </c>
      <c r="I4" t="str">
        <v>Coffee Maker</v>
      </c>
      <c r="J4" s="5" t="s">
        <v>36</v>
      </c>
      <c r="L4" t="str">
        <f t="shared" si="0"/>
        <v>03-MAR</v>
      </c>
      <c r="M4" t="str">
        <f t="shared" si="1"/>
        <v>US</v>
      </c>
      <c r="N4" t="str">
        <f t="shared" si="2"/>
        <v>Coffee Maker Keurig</v>
      </c>
    </row>
    <row r="5" spans="1:14" x14ac:dyDescent="0.25">
      <c r="A5" s="8" t="s">
        <v>37</v>
      </c>
      <c r="B5" s="8" t="s">
        <v>38</v>
      </c>
      <c r="C5" s="8" t="s">
        <v>39</v>
      </c>
      <c r="D5" s="15">
        <v>900</v>
      </c>
      <c r="E5" s="8">
        <v>25</v>
      </c>
      <c r="F5" s="8" t="s">
        <v>28</v>
      </c>
      <c r="G5" t="str">
        <f>IF(ISBLANK(D5),"Missing","Available")</f>
        <v>Available</v>
      </c>
      <c r="I5" t="str">
        <v>Smartphone</v>
      </c>
      <c r="J5" s="8" t="s">
        <v>28</v>
      </c>
      <c r="L5" t="str">
        <f t="shared" si="0"/>
        <v>11-APR</v>
      </c>
      <c r="M5" t="str">
        <f t="shared" si="1"/>
        <v>US</v>
      </c>
      <c r="N5" t="str">
        <f t="shared" si="2"/>
        <v>Smartphone Samsung</v>
      </c>
    </row>
    <row r="6" spans="1:14" x14ac:dyDescent="0.25">
      <c r="A6" s="5" t="s">
        <v>40</v>
      </c>
      <c r="B6" s="5" t="s">
        <v>41</v>
      </c>
      <c r="C6" s="5" t="s">
        <v>42</v>
      </c>
      <c r="D6" s="14">
        <v>70</v>
      </c>
      <c r="E6" s="5">
        <v>20</v>
      </c>
      <c r="F6" s="5"/>
      <c r="G6" t="str">
        <f>IF(ISBLANK(D6),"Missing","Available")</f>
        <v>Available</v>
      </c>
      <c r="I6" t="str">
        <v>Backpack</v>
      </c>
      <c r="J6" s="5"/>
      <c r="L6" t="str">
        <f t="shared" si="0"/>
        <v>22-MAY</v>
      </c>
      <c r="M6" t="str">
        <f t="shared" si="1"/>
        <v>US</v>
      </c>
      <c r="N6" t="str">
        <f t="shared" si="2"/>
        <v>Backpack North Face</v>
      </c>
    </row>
    <row r="7" spans="1:14" x14ac:dyDescent="0.25">
      <c r="A7" s="8" t="s">
        <v>43</v>
      </c>
      <c r="B7" s="8" t="s">
        <v>44</v>
      </c>
      <c r="C7" s="8" t="s">
        <v>45</v>
      </c>
      <c r="D7" s="15"/>
      <c r="E7" s="8">
        <v>45</v>
      </c>
      <c r="F7" s="8" t="s">
        <v>46</v>
      </c>
      <c r="G7" t="str">
        <f>IF(ISBLANK(D7),"Missing","Available")</f>
        <v>Missing</v>
      </c>
      <c r="H7" s="11">
        <f>AVERAGE(D:D)</f>
        <v>297.85714285714283</v>
      </c>
      <c r="I7" t="str">
        <v>Headphones</v>
      </c>
      <c r="J7" s="8" t="s">
        <v>28</v>
      </c>
      <c r="L7" t="str">
        <f t="shared" si="0"/>
        <v>07-JUN</v>
      </c>
      <c r="M7" t="str">
        <f t="shared" si="1"/>
        <v>UK</v>
      </c>
      <c r="N7" t="str">
        <f t="shared" si="2"/>
        <v>Headphones Sony</v>
      </c>
    </row>
    <row r="8" spans="1:14" x14ac:dyDescent="0.25">
      <c r="A8" s="5" t="s">
        <v>47</v>
      </c>
      <c r="B8" s="5" t="s">
        <v>48</v>
      </c>
      <c r="C8" s="5" t="s">
        <v>49</v>
      </c>
      <c r="D8" s="14">
        <v>30</v>
      </c>
      <c r="E8" s="5">
        <v>5</v>
      </c>
      <c r="F8" s="5" t="s">
        <v>32</v>
      </c>
      <c r="G8" t="str">
        <f>IF(ISBLANK(D8),"Missing","Available")</f>
        <v>Available</v>
      </c>
      <c r="I8" t="str">
        <v>T-Shirt</v>
      </c>
      <c r="J8" s="5" t="s">
        <v>32</v>
      </c>
      <c r="L8" t="str">
        <f t="shared" si="0"/>
        <v>19-JUL</v>
      </c>
      <c r="M8" t="str">
        <f t="shared" si="1"/>
        <v>UK</v>
      </c>
      <c r="N8" t="str">
        <f t="shared" si="2"/>
        <v>T-Shirt Adidas</v>
      </c>
    </row>
    <row r="9" spans="1:14" x14ac:dyDescent="0.25">
      <c r="A9" s="8" t="s">
        <v>50</v>
      </c>
      <c r="B9" s="8" t="s">
        <v>51</v>
      </c>
      <c r="C9" s="8" t="s">
        <v>52</v>
      </c>
      <c r="D9" s="15">
        <v>90</v>
      </c>
      <c r="E9" s="8">
        <v>35</v>
      </c>
      <c r="F9" s="8" t="s">
        <v>36</v>
      </c>
      <c r="G9" t="str">
        <f>IF(ISBLANK(D9),"Missing","Available")</f>
        <v>Available</v>
      </c>
      <c r="I9" t="str">
        <v>Blender</v>
      </c>
      <c r="J9" s="8" t="s">
        <v>36</v>
      </c>
      <c r="L9" t="str">
        <f t="shared" si="0"/>
        <v>23-AUG</v>
      </c>
      <c r="M9" t="str">
        <f t="shared" si="1"/>
        <v>UK</v>
      </c>
      <c r="N9" t="str">
        <f t="shared" si="2"/>
        <v>Blender Ninja</v>
      </c>
    </row>
    <row r="10" spans="1:14" x14ac:dyDescent="0.25">
      <c r="A10" s="5" t="s">
        <v>53</v>
      </c>
      <c r="B10" s="5" t="s">
        <v>54</v>
      </c>
      <c r="C10" s="5" t="s">
        <v>55</v>
      </c>
      <c r="D10" s="14">
        <v>500</v>
      </c>
      <c r="E10" s="5">
        <v>50</v>
      </c>
      <c r="F10" s="5" t="s">
        <v>28</v>
      </c>
      <c r="G10" t="str">
        <f>IF(ISBLANK(D10),"Missing","Available")</f>
        <v>Available</v>
      </c>
      <c r="I10" t="str">
        <v>Tablet</v>
      </c>
      <c r="J10" s="5" t="s">
        <v>28</v>
      </c>
      <c r="L10" t="str">
        <f t="shared" si="0"/>
        <v>05-SEP</v>
      </c>
      <c r="M10" t="str">
        <f t="shared" si="1"/>
        <v>UK</v>
      </c>
      <c r="N10" t="str">
        <f t="shared" si="2"/>
        <v>Tablet Apple</v>
      </c>
    </row>
    <row r="11" spans="1:14" x14ac:dyDescent="0.25">
      <c r="A11" s="8" t="s">
        <v>56</v>
      </c>
      <c r="B11" s="8" t="s">
        <v>57</v>
      </c>
      <c r="C11" s="8" t="s">
        <v>58</v>
      </c>
      <c r="D11" s="15">
        <v>130</v>
      </c>
      <c r="E11" s="8">
        <v>10</v>
      </c>
      <c r="F11" s="8" t="s">
        <v>59</v>
      </c>
      <c r="G11" t="str">
        <f>IF(ISBLANK(D11),"Missing","Available")</f>
        <v>Available</v>
      </c>
      <c r="I11" t="str">
        <v>Hiking Boots</v>
      </c>
      <c r="J11" s="8" t="s">
        <v>59</v>
      </c>
      <c r="L11" t="str">
        <f t="shared" si="0"/>
        <v>14-OCT</v>
      </c>
      <c r="M11" t="str">
        <f t="shared" si="1"/>
        <v>UK</v>
      </c>
      <c r="N11" t="str">
        <f t="shared" si="2"/>
        <v>Hiking Boots Timberland</v>
      </c>
    </row>
    <row r="12" spans="1:14" x14ac:dyDescent="0.25">
      <c r="A12" s="5" t="s">
        <v>60</v>
      </c>
      <c r="B12" s="5" t="s">
        <v>61</v>
      </c>
      <c r="C12" s="5" t="s">
        <v>62</v>
      </c>
      <c r="D12" s="14">
        <v>950</v>
      </c>
      <c r="E12" s="5">
        <v>25</v>
      </c>
      <c r="F12" s="5" t="s">
        <v>28</v>
      </c>
      <c r="G12" t="str">
        <f>IF(ISBLANK(D12),"Missing","Available")</f>
        <v>Available</v>
      </c>
      <c r="I12" t="str">
        <v>Laptop</v>
      </c>
      <c r="J12" s="5" t="s">
        <v>28</v>
      </c>
      <c r="L12" t="str">
        <f t="shared" si="0"/>
        <v>17-JUN</v>
      </c>
      <c r="M12" t="str">
        <f t="shared" si="1"/>
        <v>IN</v>
      </c>
      <c r="N12" t="str">
        <f t="shared" si="2"/>
        <v>Laptop HP</v>
      </c>
    </row>
    <row r="13" spans="1:14" x14ac:dyDescent="0.25">
      <c r="A13" s="8" t="s">
        <v>63</v>
      </c>
      <c r="B13" s="8" t="s">
        <v>30</v>
      </c>
      <c r="C13" s="8" t="s">
        <v>49</v>
      </c>
      <c r="D13" s="15">
        <v>90</v>
      </c>
      <c r="E13" s="8">
        <v>40</v>
      </c>
      <c r="F13" s="8"/>
      <c r="G13" t="str">
        <f>IF(ISBLANK(D13),"Missing","Available")</f>
        <v>Available</v>
      </c>
      <c r="I13" t="str">
        <v>Sneakers</v>
      </c>
      <c r="J13" s="8"/>
      <c r="L13" t="str">
        <f t="shared" si="0"/>
        <v>25-NOV</v>
      </c>
      <c r="M13" t="str">
        <f t="shared" si="1"/>
        <v>AU</v>
      </c>
      <c r="N13" t="str">
        <f t="shared" si="2"/>
        <v>Sneakers Adidas</v>
      </c>
    </row>
    <row r="14" spans="1:14" x14ac:dyDescent="0.25">
      <c r="A14" s="5" t="s">
        <v>64</v>
      </c>
      <c r="B14" s="5" t="s">
        <v>34</v>
      </c>
      <c r="C14" s="5" t="s">
        <v>65</v>
      </c>
      <c r="D14" s="14">
        <v>120</v>
      </c>
      <c r="E14" s="5">
        <v>35</v>
      </c>
      <c r="F14" s="5"/>
      <c r="G14" t="str">
        <f>IF(ISBLANK(D14),"Missing","Available")</f>
        <v>Available</v>
      </c>
      <c r="I14" t="str">
        <v>Coffee Maker</v>
      </c>
      <c r="J14" s="5"/>
      <c r="L14" t="str">
        <f t="shared" si="0"/>
        <v>08-DEC</v>
      </c>
      <c r="M14" t="str">
        <f t="shared" si="1"/>
        <v>DE</v>
      </c>
      <c r="N14" t="str">
        <f t="shared" si="2"/>
        <v>Coffee Maker Nespresso</v>
      </c>
    </row>
    <row r="15" spans="1:14" x14ac:dyDescent="0.25">
      <c r="A15" s="8" t="s">
        <v>66</v>
      </c>
      <c r="B15" s="8" t="s">
        <v>67</v>
      </c>
      <c r="C15" s="8" t="s">
        <v>68</v>
      </c>
      <c r="D15" s="15">
        <v>150</v>
      </c>
      <c r="E15" s="8">
        <v>15</v>
      </c>
      <c r="F15" s="8" t="s">
        <v>46</v>
      </c>
      <c r="G15" t="str">
        <f>IF(ISBLANK(D15),"Missing","Available")</f>
        <v>Available</v>
      </c>
      <c r="I15" t="str">
        <v>Smartwatch</v>
      </c>
      <c r="J15" s="8" t="s">
        <v>28</v>
      </c>
      <c r="L15" t="str">
        <f t="shared" si="0"/>
        <v>18-FEB</v>
      </c>
      <c r="M15" t="str">
        <f t="shared" si="1"/>
        <v>CA</v>
      </c>
      <c r="N15" t="str">
        <f t="shared" si="2"/>
        <v>Smartwatch Fitbit</v>
      </c>
    </row>
    <row r="16" spans="1:14" x14ac:dyDescent="0.25">
      <c r="A16" s="5" t="s">
        <v>69</v>
      </c>
      <c r="B16" s="5" t="s">
        <v>70</v>
      </c>
      <c r="C16" s="5" t="s">
        <v>71</v>
      </c>
      <c r="D16" s="14">
        <v>250</v>
      </c>
      <c r="E16" s="5">
        <v>20</v>
      </c>
      <c r="F16" s="5" t="s">
        <v>46</v>
      </c>
      <c r="G16" t="str">
        <f>IF(ISBLANK(D16),"Missing","Available")</f>
        <v>Available</v>
      </c>
      <c r="I16" t="str">
        <v>Headphones</v>
      </c>
      <c r="J16" s="5" t="s">
        <v>28</v>
      </c>
      <c r="L16" t="str">
        <f t="shared" si="0"/>
        <v>16-APR</v>
      </c>
      <c r="M16" t="str">
        <f t="shared" si="1"/>
        <v>ES</v>
      </c>
      <c r="N16" t="str">
        <f t="shared" si="2"/>
        <v>Headphones Bose</v>
      </c>
    </row>
    <row r="17" spans="1:14" x14ac:dyDescent="0.25">
      <c r="A17" s="8" t="s">
        <v>72</v>
      </c>
      <c r="B17" s="8" t="s">
        <v>73</v>
      </c>
      <c r="C17" s="8" t="s">
        <v>74</v>
      </c>
      <c r="D17" s="15">
        <v>50</v>
      </c>
      <c r="E17" s="8">
        <v>35</v>
      </c>
      <c r="F17" s="8" t="s">
        <v>75</v>
      </c>
      <c r="G17" t="str">
        <f>IF(ISBLANK(D17),"Missing","Available")</f>
        <v>Available</v>
      </c>
      <c r="I17" t="str">
        <v>Laptop Bag</v>
      </c>
      <c r="J17" s="8" t="s">
        <v>75</v>
      </c>
      <c r="L17" t="str">
        <f t="shared" si="0"/>
        <v>21-AUG</v>
      </c>
      <c r="M17" t="str">
        <f t="shared" si="1"/>
        <v>CA</v>
      </c>
      <c r="N17" t="str">
        <f t="shared" si="2"/>
        <v>Laptop Bag Samsonite</v>
      </c>
    </row>
    <row r="18" spans="1:14" x14ac:dyDescent="0.25">
      <c r="A18" s="5" t="s">
        <v>76</v>
      </c>
      <c r="B18" s="5" t="s">
        <v>67</v>
      </c>
      <c r="C18" s="5" t="s">
        <v>77</v>
      </c>
      <c r="D18" s="14">
        <v>160</v>
      </c>
      <c r="E18" s="5">
        <v>15</v>
      </c>
      <c r="F18" s="5" t="s">
        <v>46</v>
      </c>
      <c r="G18" t="str">
        <f>IF(ISBLANK(D18),"Missing","Available")</f>
        <v>Available</v>
      </c>
      <c r="I18" t="str">
        <v>Smartwatch</v>
      </c>
      <c r="J18" s="5" t="s">
        <v>28</v>
      </c>
      <c r="L18" t="str">
        <f t="shared" si="0"/>
        <v>20-AUG</v>
      </c>
      <c r="M18" t="str">
        <f t="shared" si="1"/>
        <v>CN</v>
      </c>
      <c r="N18" t="str">
        <f t="shared" si="2"/>
        <v>Smartwatch Huawei</v>
      </c>
    </row>
    <row r="19" spans="1:14" x14ac:dyDescent="0.25">
      <c r="A19" s="8" t="s">
        <v>78</v>
      </c>
      <c r="B19" s="8" t="s">
        <v>26</v>
      </c>
      <c r="C19" s="8" t="s">
        <v>79</v>
      </c>
      <c r="D19" s="15">
        <v>980</v>
      </c>
      <c r="E19" s="8">
        <v>10</v>
      </c>
      <c r="F19" s="8" t="s">
        <v>28</v>
      </c>
      <c r="G19" t="str">
        <f>IF(ISBLANK(D19),"Missing","Available")</f>
        <v>Available</v>
      </c>
      <c r="I19" t="str">
        <v>Laptop</v>
      </c>
      <c r="J19" s="8" t="s">
        <v>28</v>
      </c>
      <c r="L19" t="str">
        <f t="shared" si="0"/>
        <v>27-JAN</v>
      </c>
      <c r="M19" t="str">
        <f t="shared" si="1"/>
        <v>IT</v>
      </c>
      <c r="N19" t="str">
        <f t="shared" si="2"/>
        <v>Laptop Asus</v>
      </c>
    </row>
    <row r="20" spans="1:14" x14ac:dyDescent="0.25">
      <c r="A20" s="5" t="s">
        <v>80</v>
      </c>
      <c r="B20" s="5" t="s">
        <v>81</v>
      </c>
      <c r="C20" s="5" t="s">
        <v>82</v>
      </c>
      <c r="D20" s="14">
        <v>150</v>
      </c>
      <c r="E20" s="5">
        <v>15</v>
      </c>
      <c r="F20" s="5" t="s">
        <v>32</v>
      </c>
      <c r="G20" t="str">
        <f>IF(ISBLANK(D20),"Missing","Available")</f>
        <v>Available</v>
      </c>
      <c r="I20" t="str">
        <v>Sunglasses</v>
      </c>
      <c r="J20" s="5" t="s">
        <v>32</v>
      </c>
      <c r="L20" t="str">
        <f t="shared" si="0"/>
        <v>01-MAR</v>
      </c>
      <c r="M20" t="str">
        <f t="shared" si="1"/>
        <v>UK</v>
      </c>
      <c r="N20" t="str">
        <f t="shared" si="2"/>
        <v>Sunglasses Oakley</v>
      </c>
    </row>
    <row r="21" spans="1:14" x14ac:dyDescent="0.25">
      <c r="A21" s="8" t="s">
        <v>83</v>
      </c>
      <c r="B21" s="8" t="s">
        <v>84</v>
      </c>
      <c r="C21" s="8" t="s">
        <v>85</v>
      </c>
      <c r="D21" s="15"/>
      <c r="E21" s="8">
        <v>10</v>
      </c>
      <c r="F21" s="8" t="s">
        <v>59</v>
      </c>
      <c r="G21" t="str">
        <f>IF(ISBLANK(D21),"Missing","Available")</f>
        <v>Missing</v>
      </c>
      <c r="H21" s="11">
        <f>AVERAGE(D:D)</f>
        <v>297.85714285714283</v>
      </c>
      <c r="I21" t="str">
        <v>Camping Tent</v>
      </c>
      <c r="J21" s="8" t="s">
        <v>59</v>
      </c>
      <c r="L21" t="str">
        <f t="shared" si="0"/>
        <v>14-AUG</v>
      </c>
      <c r="M21" t="str">
        <f t="shared" si="1"/>
        <v>US</v>
      </c>
      <c r="N21" t="str">
        <f t="shared" si="2"/>
        <v>Camping Tent Coleman</v>
      </c>
    </row>
    <row r="22" spans="1:14" x14ac:dyDescent="0.25">
      <c r="A22" s="5" t="s">
        <v>86</v>
      </c>
      <c r="B22" s="5" t="s">
        <v>87</v>
      </c>
      <c r="C22" s="5" t="s">
        <v>88</v>
      </c>
      <c r="D22" s="14">
        <v>700</v>
      </c>
      <c r="E22" s="5">
        <v>50</v>
      </c>
      <c r="F22" s="5" t="s">
        <v>28</v>
      </c>
      <c r="G22" t="str">
        <f>IF(ISBLANK(D22),"Missing","Available")</f>
        <v>Available</v>
      </c>
      <c r="I22" t="str">
        <v>Camera</v>
      </c>
      <c r="J22" s="5" t="s">
        <v>28</v>
      </c>
      <c r="L22" t="str">
        <f t="shared" si="0"/>
        <v>14-MAY</v>
      </c>
      <c r="M22" t="str">
        <f t="shared" si="1"/>
        <v>RU</v>
      </c>
      <c r="N22" t="str">
        <f t="shared" si="2"/>
        <v>Camera Nikon</v>
      </c>
    </row>
    <row r="23" spans="1:14" x14ac:dyDescent="0.25">
      <c r="A23" s="8" t="s">
        <v>89</v>
      </c>
      <c r="B23" s="8" t="s">
        <v>90</v>
      </c>
      <c r="C23" s="8" t="s">
        <v>91</v>
      </c>
      <c r="D23" s="15">
        <v>80</v>
      </c>
      <c r="E23" s="8">
        <v>20</v>
      </c>
      <c r="F23" s="8" t="s">
        <v>36</v>
      </c>
      <c r="G23" t="str">
        <f>IF(ISBLANK(D23),"Missing","Available")</f>
        <v>Available</v>
      </c>
      <c r="I23" t="str">
        <v>Microwave</v>
      </c>
      <c r="J23" s="8" t="s">
        <v>36</v>
      </c>
      <c r="L23" t="str">
        <f t="shared" si="0"/>
        <v>09-JAN</v>
      </c>
      <c r="M23" t="str">
        <f t="shared" si="1"/>
        <v>CA</v>
      </c>
      <c r="N23" t="str">
        <f t="shared" si="2"/>
        <v>Microwave Panasonic</v>
      </c>
    </row>
    <row r="24" spans="1:14" x14ac:dyDescent="0.25">
      <c r="A24" s="5" t="s">
        <v>92</v>
      </c>
      <c r="B24" s="5" t="s">
        <v>93</v>
      </c>
      <c r="C24" s="5" t="s">
        <v>94</v>
      </c>
      <c r="D24" s="14">
        <v>150</v>
      </c>
      <c r="E24" s="5">
        <v>30</v>
      </c>
      <c r="F24" s="5"/>
      <c r="G24" t="str">
        <f>IF(ISBLANK(D24),"Missing","Available")</f>
        <v>Available</v>
      </c>
      <c r="I24" t="str">
        <v>Fitness Tracker</v>
      </c>
      <c r="J24" s="5"/>
      <c r="L24" t="str">
        <f t="shared" si="0"/>
        <v>19-JUL</v>
      </c>
      <c r="M24" t="str">
        <f t="shared" si="1"/>
        <v>BR</v>
      </c>
      <c r="N24" t="str">
        <f t="shared" si="2"/>
        <v>Fitness Tracker Xiaomi</v>
      </c>
    </row>
    <row r="25" spans="1:14" x14ac:dyDescent="0.25">
      <c r="A25" s="5" t="s">
        <v>95</v>
      </c>
      <c r="B25" s="5" t="s">
        <v>96</v>
      </c>
      <c r="C25" s="5" t="s">
        <v>97</v>
      </c>
      <c r="D25" s="14">
        <v>800</v>
      </c>
      <c r="E25" s="5">
        <v>45</v>
      </c>
      <c r="F25" s="5" t="s">
        <v>28</v>
      </c>
      <c r="G25" t="str">
        <f>IF(ISBLANK(D25),"Missing","Available")</f>
        <v>Available</v>
      </c>
      <c r="I25" t="str">
        <v>Smartphone</v>
      </c>
      <c r="J25" s="8" t="s">
        <v>75</v>
      </c>
      <c r="L25" t="str">
        <f t="shared" si="0"/>
        <v>29-SEP</v>
      </c>
      <c r="M25" t="str">
        <f t="shared" si="1"/>
        <v>CA</v>
      </c>
      <c r="N25" t="str">
        <f t="shared" si="2"/>
        <v>Smartphone Google</v>
      </c>
    </row>
    <row r="26" spans="1:14" x14ac:dyDescent="0.25">
      <c r="A26" s="8" t="s">
        <v>98</v>
      </c>
      <c r="B26" s="8" t="s">
        <v>81</v>
      </c>
      <c r="C26" s="8" t="s">
        <v>99</v>
      </c>
      <c r="D26" s="15"/>
      <c r="E26" s="8">
        <v>25</v>
      </c>
      <c r="F26" s="8" t="s">
        <v>32</v>
      </c>
      <c r="G26" t="str">
        <f>IF(ISBLANK(D26),"Missing","Available")</f>
        <v>Missing</v>
      </c>
      <c r="I26" t="str">
        <v>Sunglasses</v>
      </c>
      <c r="J26" s="5" t="s">
        <v>28</v>
      </c>
      <c r="L26" t="str">
        <f t="shared" si="0"/>
        <v>03-JUN</v>
      </c>
      <c r="M26" t="str">
        <f t="shared" si="1"/>
        <v>CA</v>
      </c>
      <c r="N26" t="str">
        <f t="shared" si="2"/>
        <v>Sunglasses Ray-Ban</v>
      </c>
    </row>
    <row r="27" spans="1:14" x14ac:dyDescent="0.25">
      <c r="A27" s="5" t="s">
        <v>100</v>
      </c>
      <c r="B27" s="5" t="s">
        <v>51</v>
      </c>
      <c r="C27" s="5" t="s">
        <v>101</v>
      </c>
      <c r="D27" s="14">
        <v>400</v>
      </c>
      <c r="E27" s="5">
        <v>40</v>
      </c>
      <c r="F27" s="5" t="s">
        <v>36</v>
      </c>
      <c r="G27" t="str">
        <f>IF(ISBLANK(D27),"Missing","Available")</f>
        <v>Available</v>
      </c>
      <c r="H27" s="11">
        <f>AVERAGE(D:D)</f>
        <v>297.85714285714283</v>
      </c>
      <c r="I27" t="str">
        <v>Blender</v>
      </c>
      <c r="J27" s="8" t="s">
        <v>32</v>
      </c>
      <c r="L27" t="str">
        <f t="shared" si="0"/>
        <v>11-JUL</v>
      </c>
      <c r="M27" t="str">
        <f t="shared" si="1"/>
        <v>CA</v>
      </c>
      <c r="N27" t="str">
        <f t="shared" si="2"/>
        <v>Blender Vitamix</v>
      </c>
    </row>
    <row r="28" spans="1:14" x14ac:dyDescent="0.25">
      <c r="A28" s="5" t="s">
        <v>102</v>
      </c>
      <c r="B28" s="5" t="s">
        <v>103</v>
      </c>
      <c r="C28" s="5" t="s">
        <v>104</v>
      </c>
      <c r="D28" s="14">
        <v>60</v>
      </c>
      <c r="E28" s="5">
        <v>30</v>
      </c>
      <c r="F28" s="5" t="s">
        <v>32</v>
      </c>
      <c r="G28" t="str">
        <f>IF(ISBLANK(D28),"Missing","Available")</f>
        <v>Available</v>
      </c>
      <c r="I28" t="str">
        <v>Dress</v>
      </c>
      <c r="J28" s="5" t="s">
        <v>36</v>
      </c>
      <c r="L28" t="str">
        <f t="shared" si="0"/>
        <v>07-MAR</v>
      </c>
      <c r="M28" t="str">
        <f t="shared" si="1"/>
        <v>CA</v>
      </c>
      <c r="N28" t="str">
        <f t="shared" si="2"/>
        <v>Dress Zara</v>
      </c>
    </row>
    <row r="29" spans="1:14" x14ac:dyDescent="0.25">
      <c r="A29" s="8" t="s">
        <v>105</v>
      </c>
      <c r="B29" s="8" t="s">
        <v>106</v>
      </c>
      <c r="C29" s="8" t="s">
        <v>107</v>
      </c>
      <c r="D29" s="15">
        <v>40</v>
      </c>
      <c r="E29" s="8">
        <v>10</v>
      </c>
      <c r="F29" s="8" t="s">
        <v>36</v>
      </c>
      <c r="G29" t="str">
        <f>IF(ISBLANK(D29),"Missing","Available")</f>
        <v>Available</v>
      </c>
      <c r="I29" t="str">
        <v>Toaster</v>
      </c>
      <c r="J29" s="8" t="s">
        <v>28</v>
      </c>
      <c r="L29" t="str">
        <f t="shared" si="0"/>
        <v>13-APR</v>
      </c>
      <c r="M29" t="str">
        <f t="shared" si="1"/>
        <v>CA</v>
      </c>
      <c r="N29" t="str">
        <f t="shared" si="2"/>
        <v>Toaster Hamilton</v>
      </c>
    </row>
    <row r="30" spans="1:14" x14ac:dyDescent="0.25">
      <c r="A30" s="5" t="s">
        <v>108</v>
      </c>
      <c r="B30" s="5" t="s">
        <v>93</v>
      </c>
      <c r="C30" s="5" t="s">
        <v>109</v>
      </c>
      <c r="D30" s="14">
        <v>130</v>
      </c>
      <c r="E30" s="5">
        <v>5</v>
      </c>
      <c r="F30" s="5" t="s">
        <v>28</v>
      </c>
      <c r="G30" t="str">
        <f>IF(ISBLANK(D30),"Missing","Available")</f>
        <v>Available</v>
      </c>
      <c r="I30" t="str">
        <v>Fitness Tracker</v>
      </c>
      <c r="J30" s="5" t="s">
        <v>32</v>
      </c>
      <c r="L30" t="str">
        <f t="shared" si="0"/>
        <v>24-MAY</v>
      </c>
      <c r="M30" t="str">
        <f t="shared" si="1"/>
        <v>CA</v>
      </c>
      <c r="N30" t="str">
        <f t="shared" si="2"/>
        <v>Fitness Tracker Garmin</v>
      </c>
    </row>
    <row r="31" spans="1:14" x14ac:dyDescent="0.25">
      <c r="A31" s="8" t="s">
        <v>110</v>
      </c>
      <c r="B31" s="8" t="s">
        <v>111</v>
      </c>
      <c r="C31" s="8" t="s">
        <v>112</v>
      </c>
      <c r="D31" s="15">
        <v>50</v>
      </c>
      <c r="E31" s="8">
        <v>50</v>
      </c>
      <c r="F31" s="8" t="s">
        <v>32</v>
      </c>
      <c r="G31" t="str">
        <f>IF(ISBLANK(D31),"Missing","Available")</f>
        <v>Available</v>
      </c>
      <c r="I31" t="str">
        <v>Jeans</v>
      </c>
      <c r="J31" s="8" t="s">
        <v>36</v>
      </c>
      <c r="L31" t="str">
        <f t="shared" si="0"/>
        <v>02-DEC</v>
      </c>
      <c r="M31" t="str">
        <f t="shared" si="1"/>
        <v>CA</v>
      </c>
      <c r="N31" t="str">
        <f t="shared" si="2"/>
        <v>Jeans Levi's</v>
      </c>
    </row>
    <row r="32" spans="1:14" x14ac:dyDescent="0.25">
      <c r="A32" s="8" t="s">
        <v>113</v>
      </c>
      <c r="B32" s="8" t="s">
        <v>114</v>
      </c>
      <c r="C32" s="8" t="s">
        <v>115</v>
      </c>
      <c r="D32" s="15">
        <v>100</v>
      </c>
      <c r="E32" s="8">
        <v>20</v>
      </c>
      <c r="F32" s="8" t="s">
        <v>75</v>
      </c>
      <c r="G32" t="str">
        <f>IF(ISBLANK(D32),"Missing","Available")</f>
        <v>Available</v>
      </c>
      <c r="I32" t="str">
        <v>Watch</v>
      </c>
      <c r="J32" s="5" t="s">
        <v>28</v>
      </c>
      <c r="L32" t="str">
        <f t="shared" si="0"/>
        <v>09-JUL</v>
      </c>
      <c r="M32" t="str">
        <f t="shared" si="1"/>
        <v>FR</v>
      </c>
      <c r="N32" t="str">
        <f t="shared" si="2"/>
        <v>Watch Casio</v>
      </c>
    </row>
  </sheetData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{BC6BE658-6271-498F-BCD5-86A713888266}</x14:id>
        </ext>
      </extLst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BE658-6271-498F-BCD5-86A7138882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DHURVAN RAJEESH</cp:lastModifiedBy>
  <dcterms:modified xsi:type="dcterms:W3CDTF">2026-10-21T05:54:56Z</dcterms:modified>
</cp:coreProperties>
</file>